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fe\Desktop\Github\EE568\Project2\"/>
    </mc:Choice>
  </mc:AlternateContent>
  <xr:revisionPtr revIDLastSave="0" documentId="13_ncr:1_{5846B694-2684-4F85-92AB-1F02DF66BBF2}" xr6:coauthVersionLast="47" xr6:coauthVersionMax="47" xr10:uidLastSave="{00000000-0000-0000-0000-000000000000}"/>
  <bookViews>
    <workbookView xWindow="0" yWindow="0" windowWidth="14400" windowHeight="15600" xr2:uid="{78AD2EBD-658B-4A11-BB41-0D1200FA9FE3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2" i="1" l="1"/>
  <c r="H11" i="1"/>
  <c r="H10" i="1"/>
  <c r="H8" i="1"/>
  <c r="H9" i="1"/>
  <c r="H3" i="1"/>
  <c r="E21" i="1"/>
  <c r="H2" i="1"/>
  <c r="E8" i="1"/>
  <c r="E6" i="1"/>
  <c r="E7" i="1"/>
  <c r="E3" i="1"/>
  <c r="E2" i="1"/>
  <c r="E17" i="1"/>
  <c r="H5" i="1"/>
  <c r="H4" i="1"/>
  <c r="H6" i="1" s="1"/>
  <c r="E9" i="1"/>
  <c r="E11" i="1" s="1"/>
  <c r="B5" i="1"/>
  <c r="B13" i="1"/>
  <c r="H7" i="1" l="1"/>
  <c r="E12" i="1"/>
  <c r="E4" i="1"/>
  <c r="E13" i="1" l="1"/>
  <c r="E14" i="1" s="1"/>
  <c r="E15" i="1" s="1"/>
</calcChain>
</file>

<file path=xl/sharedStrings.xml><?xml version="1.0" encoding="utf-8"?>
<sst xmlns="http://schemas.openxmlformats.org/spreadsheetml/2006/main" count="55" uniqueCount="55">
  <si>
    <t>Magnet relative permeability</t>
  </si>
  <si>
    <t>Magnet to pole ratio</t>
  </si>
  <si>
    <t>Fill factor</t>
  </si>
  <si>
    <t>Winding temperature (°C)</t>
  </si>
  <si>
    <t>Stator slots</t>
  </si>
  <si>
    <t>Pole</t>
  </si>
  <si>
    <t>Slots per pole per phase</t>
  </si>
  <si>
    <t>Number of phases</t>
  </si>
  <si>
    <t>Stator outer radius (m)</t>
  </si>
  <si>
    <t>Motor axial length (m)</t>
  </si>
  <si>
    <t>Air gap (m)</t>
  </si>
  <si>
    <t>Current density (A/m^2)</t>
  </si>
  <si>
    <t>Winding factor</t>
  </si>
  <si>
    <t>Km</t>
  </si>
  <si>
    <t>Alpha_skew</t>
  </si>
  <si>
    <t>n_cog</t>
  </si>
  <si>
    <t>Rotor outer radius (m)</t>
  </si>
  <si>
    <t>Rotor/Stator radius ratio (Rro/Rso)</t>
  </si>
  <si>
    <t>Stator inner radius (m)</t>
  </si>
  <si>
    <t>Motor constant, Km</t>
  </si>
  <si>
    <t>Residual Magnetism, Br (T)</t>
  </si>
  <si>
    <t>Air gap radius (m)</t>
  </si>
  <si>
    <t>Slot ratio, d</t>
  </si>
  <si>
    <t>Slot outer radius (m)</t>
  </si>
  <si>
    <t>Slot height (m)</t>
  </si>
  <si>
    <t>Back core thickness (m)</t>
  </si>
  <si>
    <t>Teeth/slot ratio</t>
  </si>
  <si>
    <t>Teeth width (m)</t>
  </si>
  <si>
    <t>Slot width (m)</t>
  </si>
  <si>
    <t>Slot area(m^2)</t>
  </si>
  <si>
    <t>GIVEN PARAMETERS</t>
  </si>
  <si>
    <t>Copper area per slot (m^2)</t>
  </si>
  <si>
    <t>Ampere-turns per slot (A)</t>
  </si>
  <si>
    <t>Electric loading (A/m)</t>
  </si>
  <si>
    <t>Stator slot opening (m)</t>
  </si>
  <si>
    <t>Stator slot pitch (m)</t>
  </si>
  <si>
    <t>Carter's coefficient</t>
  </si>
  <si>
    <t>Effective air gap clearance (m)</t>
  </si>
  <si>
    <t>Effective axial length (m)</t>
  </si>
  <si>
    <t>Radial magnet length (m)</t>
  </si>
  <si>
    <t>Air-gap peak  flux density (T)</t>
  </si>
  <si>
    <t>Magnetic loading (T)</t>
  </si>
  <si>
    <t>Specific machine constant (Ws/m^3)</t>
  </si>
  <si>
    <t>Tangential shear stress (Pa)</t>
  </si>
  <si>
    <t>Torque (Nm)</t>
  </si>
  <si>
    <t>Flux per pole (Wb)</t>
  </si>
  <si>
    <t>Number of turns</t>
  </si>
  <si>
    <t>Motor speed (rpm)</t>
  </si>
  <si>
    <t>DC bus voltage (V)</t>
  </si>
  <si>
    <t>Electrical frequency (Hz)</t>
  </si>
  <si>
    <t>Tooth flux density (T)</t>
  </si>
  <si>
    <t>CHECK:</t>
  </si>
  <si>
    <t>RESULTS</t>
  </si>
  <si>
    <t>CALCULATED PARAMETERS</t>
  </si>
  <si>
    <t xml:space="preserve">     should be around 1.4T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</si>
</sst>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11" fontId="0" fillId="0" borderId="0" xfId="0" applyNumberFormat="1"/>
    <xf numFmtId="0" fontId="1" fillId="0" borderId="0" xfId="0" applyFont="1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11" fontId="0" fillId="0" borderId="5" xfId="0" applyNumberFormat="1" applyBorder="1"/>
    <xf numFmtId="0" fontId="0" fillId="0" borderId="6" xfId="0" applyBorder="1"/>
    <xf numFmtId="0" fontId="0" fillId="2" borderId="5" xfId="0" applyFill="1" applyBorder="1"/>
    <xf numFmtId="11" fontId="0" fillId="0" borderId="4" xfId="0" applyNumberFormat="1" applyBorder="1"/>
    <xf numFmtId="0" fontId="0" fillId="3" borderId="4" xfId="0" applyFill="1" applyBorder="1"/>
    <xf numFmtId="11" fontId="0" fillId="3" borderId="4" xfId="0" applyNumberFormat="1" applyFill="1" applyBorder="1"/>
    <xf numFmtId="0" fontId="0" fillId="3" borderId="5" xfId="0" applyFill="1" applyBorder="1"/>
    <xf numFmtId="11" fontId="0" fillId="3" borderId="5" xfId="0" applyNumberFormat="1" applyFill="1" applyBorder="1"/>
    <xf numFmtId="0" fontId="0" fillId="3" borderId="6" xfId="0" applyFill="1" applyBorder="1"/>
    <xf numFmtId="0" fontId="0" fillId="0" borderId="3" xfId="0" applyBorder="1"/>
    <xf numFmtId="11" fontId="0" fillId="2" borderId="5" xfId="0" applyNumberFormat="1" applyFill="1" applyBorder="1"/>
    <xf numFmtId="0" fontId="0" fillId="0" borderId="7" xfId="0" applyBorder="1"/>
    <xf numFmtId="11" fontId="0" fillId="0" borderId="8" xfId="0" applyNumberFormat="1" applyBorder="1"/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3" borderId="5" xfId="0" applyNumberFormat="1" applyFill="1" applyBorder="1"/>
    <xf numFmtId="0" fontId="0" fillId="3" borderId="6" xfId="0" applyNumberFormat="1" applyFill="1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9E2BE-638F-457D-A210-9993A80A5A98}">
  <dimension ref="A1:H23"/>
  <sheetViews>
    <sheetView tabSelected="1" topLeftCell="B1" zoomScale="120" zoomScaleNormal="120" workbookViewId="0">
      <selection activeCell="H16" sqref="H16"/>
    </sheetView>
  </sheetViews>
  <sheetFormatPr defaultRowHeight="15" x14ac:dyDescent="0.25"/>
  <cols>
    <col min="1" max="1" width="32.7109375" bestFit="1" customWidth="1"/>
    <col min="4" max="4" width="28" bestFit="1" customWidth="1"/>
    <col min="7" max="7" width="34.140625" bestFit="1" customWidth="1"/>
    <col min="9" max="9" width="9" customWidth="1"/>
  </cols>
  <sheetData>
    <row r="1" spans="1:8" ht="15.75" thickBot="1" x14ac:dyDescent="0.3">
      <c r="A1" s="3" t="s">
        <v>30</v>
      </c>
      <c r="D1" s="3" t="s">
        <v>53</v>
      </c>
      <c r="G1" s="2" t="s">
        <v>52</v>
      </c>
    </row>
    <row r="2" spans="1:8" x14ac:dyDescent="0.25">
      <c r="A2" s="4" t="s">
        <v>7</v>
      </c>
      <c r="B2" s="6">
        <v>3</v>
      </c>
      <c r="D2" s="6" t="s">
        <v>16</v>
      </c>
      <c r="E2" s="11">
        <f>B6*B7</f>
        <v>3.1E-2</v>
      </c>
      <c r="G2" s="12" t="s">
        <v>33</v>
      </c>
      <c r="H2" s="13">
        <f>E15*B3/(PI()*2*E4)</f>
        <v>12353.015873015873</v>
      </c>
    </row>
    <row r="3" spans="1:8" x14ac:dyDescent="0.25">
      <c r="A3" s="5" t="s">
        <v>4</v>
      </c>
      <c r="B3" s="7">
        <v>15</v>
      </c>
      <c r="D3" s="7" t="s">
        <v>18</v>
      </c>
      <c r="E3" s="8">
        <f>E2+B9</f>
        <v>3.2000000000000001E-2</v>
      </c>
      <c r="G3" s="14" t="s">
        <v>36</v>
      </c>
      <c r="H3" s="15">
        <f>E9/(E9-E16*((E16/B9)/(5+E16/B9)))</f>
        <v>1.2292709558944073</v>
      </c>
    </row>
    <row r="4" spans="1:8" x14ac:dyDescent="0.25">
      <c r="A4" s="5" t="s">
        <v>5</v>
      </c>
      <c r="B4" s="7">
        <v>14</v>
      </c>
      <c r="D4" s="7" t="s">
        <v>21</v>
      </c>
      <c r="E4" s="8">
        <f>(E3+E2)/2</f>
        <v>3.15E-2</v>
      </c>
      <c r="G4" s="14" t="s">
        <v>37</v>
      </c>
      <c r="H4" s="15">
        <f>B9*H3</f>
        <v>1.2292709558944072E-3</v>
      </c>
    </row>
    <row r="5" spans="1:8" x14ac:dyDescent="0.25">
      <c r="A5" s="5" t="s">
        <v>6</v>
      </c>
      <c r="B5" s="7">
        <f>B3/B4/B2</f>
        <v>0.35714285714285715</v>
      </c>
      <c r="D5" s="10" t="s">
        <v>22</v>
      </c>
      <c r="E5" s="10">
        <v>0.75</v>
      </c>
      <c r="G5" s="14" t="s">
        <v>38</v>
      </c>
      <c r="H5" s="15">
        <f>B8+2*B9</f>
        <v>0.10200000000000001</v>
      </c>
    </row>
    <row r="6" spans="1:8" x14ac:dyDescent="0.25">
      <c r="A6" s="5" t="s">
        <v>8</v>
      </c>
      <c r="B6" s="8">
        <v>0.05</v>
      </c>
      <c r="D6" s="7" t="s">
        <v>23</v>
      </c>
      <c r="E6" s="8">
        <f>E3/E5</f>
        <v>4.2666666666666665E-2</v>
      </c>
      <c r="G6" s="14" t="s">
        <v>40</v>
      </c>
      <c r="H6" s="23">
        <f>B12*B10/(B11*H4+B10)</f>
        <v>0.9828503011016978</v>
      </c>
    </row>
    <row r="7" spans="1:8" x14ac:dyDescent="0.25">
      <c r="A7" s="5" t="s">
        <v>17</v>
      </c>
      <c r="B7" s="7">
        <v>0.62</v>
      </c>
      <c r="D7" s="7" t="s">
        <v>24</v>
      </c>
      <c r="E7" s="8">
        <f>E6-E3</f>
        <v>1.0666666666666665E-2</v>
      </c>
      <c r="G7" s="14" t="s">
        <v>41</v>
      </c>
      <c r="H7" s="14">
        <f>H6*B13</f>
        <v>0.87364471209039796</v>
      </c>
    </row>
    <row r="8" spans="1:8" x14ac:dyDescent="0.25">
      <c r="A8" s="5" t="s">
        <v>9</v>
      </c>
      <c r="B8" s="7">
        <v>0.1</v>
      </c>
      <c r="D8" s="7" t="s">
        <v>25</v>
      </c>
      <c r="E8" s="8">
        <f>B6-E6</f>
        <v>7.3333333333333375E-3</v>
      </c>
      <c r="G8" s="14" t="s">
        <v>42</v>
      </c>
      <c r="H8" s="15">
        <f>PI()^2/2*B17*H6*H2</f>
        <v>57337.936854348729</v>
      </c>
    </row>
    <row r="9" spans="1:8" x14ac:dyDescent="0.25">
      <c r="A9" s="5" t="s">
        <v>10</v>
      </c>
      <c r="B9" s="8">
        <v>1E-3</v>
      </c>
      <c r="D9" s="7" t="s">
        <v>35</v>
      </c>
      <c r="E9" s="8">
        <f>2*PI()*E3/B3</f>
        <v>1.3404128655316452E-2</v>
      </c>
      <c r="G9" s="14" t="s">
        <v>43</v>
      </c>
      <c r="H9" s="15">
        <f>1*H2*H6/SQRT(2)</f>
        <v>8585.1003648518563</v>
      </c>
    </row>
    <row r="10" spans="1:8" x14ac:dyDescent="0.25">
      <c r="A10" s="5" t="s">
        <v>39</v>
      </c>
      <c r="B10" s="8">
        <v>4.0000000000000001E-3</v>
      </c>
      <c r="D10" s="10" t="s">
        <v>26</v>
      </c>
      <c r="E10" s="10">
        <v>0.62</v>
      </c>
      <c r="G10" s="14" t="s">
        <v>44</v>
      </c>
      <c r="H10" s="23">
        <f>2*PI()*H9*E2^2*H5</f>
        <v>5.2874808134461384</v>
      </c>
    </row>
    <row r="11" spans="1:8" x14ac:dyDescent="0.25">
      <c r="A11" s="5" t="s">
        <v>0</v>
      </c>
      <c r="B11" s="7">
        <v>1.05</v>
      </c>
      <c r="D11" s="7" t="s">
        <v>27</v>
      </c>
      <c r="E11" s="8">
        <f>E9*E10</f>
        <v>8.3105597662962005E-3</v>
      </c>
      <c r="G11" s="14" t="s">
        <v>45</v>
      </c>
      <c r="H11" s="15">
        <f>H7*PI()*2*E4*H5/B4</f>
        <v>1.2597878364920009E-3</v>
      </c>
    </row>
    <row r="12" spans="1:8" ht="15.75" thickBot="1" x14ac:dyDescent="0.3">
      <c r="A12" s="5" t="s">
        <v>20</v>
      </c>
      <c r="B12" s="7">
        <v>1.3</v>
      </c>
      <c r="D12" s="7" t="s">
        <v>28</v>
      </c>
      <c r="E12" s="8">
        <f>(1-E10)*E9</f>
        <v>5.0935688890202521E-3</v>
      </c>
      <c r="G12" s="16" t="s">
        <v>46</v>
      </c>
      <c r="H12" s="24">
        <f>(B23/SQRT(3))/(SQRT(2)*PI()*E17*B17*H11)</f>
        <v>29.564350485097432</v>
      </c>
    </row>
    <row r="13" spans="1:8" x14ac:dyDescent="0.25">
      <c r="A13" s="5" t="s">
        <v>1</v>
      </c>
      <c r="B13" s="7">
        <f>160/180</f>
        <v>0.88888888888888884</v>
      </c>
      <c r="D13" s="7" t="s">
        <v>29</v>
      </c>
      <c r="E13" s="8">
        <f>E12*E7</f>
        <v>5.4331401482882677E-5</v>
      </c>
    </row>
    <row r="14" spans="1:8" x14ac:dyDescent="0.25">
      <c r="A14" s="5" t="s">
        <v>2</v>
      </c>
      <c r="B14" s="7">
        <v>0.6</v>
      </c>
      <c r="D14" s="7" t="s">
        <v>31</v>
      </c>
      <c r="E14" s="8">
        <f>B14*E13</f>
        <v>3.2598840889729608E-5</v>
      </c>
    </row>
    <row r="15" spans="1:8" x14ac:dyDescent="0.25">
      <c r="A15" s="5" t="s">
        <v>11</v>
      </c>
      <c r="B15" s="8">
        <v>5000000</v>
      </c>
      <c r="D15" s="7" t="s">
        <v>32</v>
      </c>
      <c r="E15" s="8">
        <f>E14*B15</f>
        <v>162.99420444864805</v>
      </c>
      <c r="G15" s="1"/>
    </row>
    <row r="16" spans="1:8" x14ac:dyDescent="0.25">
      <c r="A16" s="5" t="s">
        <v>3</v>
      </c>
      <c r="B16" s="7">
        <v>50</v>
      </c>
      <c r="D16" s="10" t="s">
        <v>34</v>
      </c>
      <c r="E16" s="18">
        <v>5.0000000000000001E-3</v>
      </c>
    </row>
    <row r="17" spans="1:7" ht="15.75" thickBot="1" x14ac:dyDescent="0.3">
      <c r="A17" s="5" t="s">
        <v>12</v>
      </c>
      <c r="B17" s="7">
        <v>0.95699999999999996</v>
      </c>
      <c r="D17" s="9" t="s">
        <v>49</v>
      </c>
      <c r="E17" s="9">
        <f>B22/60*B4/2</f>
        <v>175</v>
      </c>
    </row>
    <row r="18" spans="1:7" x14ac:dyDescent="0.25">
      <c r="A18" s="5" t="s">
        <v>13</v>
      </c>
      <c r="B18" s="7">
        <v>1.35</v>
      </c>
    </row>
    <row r="19" spans="1:7" x14ac:dyDescent="0.25">
      <c r="A19" s="5" t="s">
        <v>14</v>
      </c>
      <c r="B19" s="7">
        <v>7.1429000000000006E-2</v>
      </c>
    </row>
    <row r="20" spans="1:7" ht="15.75" thickBot="1" x14ac:dyDescent="0.3">
      <c r="A20" s="5" t="s">
        <v>15</v>
      </c>
      <c r="B20" s="7">
        <v>15</v>
      </c>
      <c r="D20" s="2" t="s">
        <v>51</v>
      </c>
    </row>
    <row r="21" spans="1:7" ht="15.75" thickBot="1" x14ac:dyDescent="0.3">
      <c r="A21" s="5" t="s">
        <v>19</v>
      </c>
      <c r="B21" s="7">
        <v>1.35</v>
      </c>
      <c r="D21" s="19" t="s">
        <v>50</v>
      </c>
      <c r="E21" s="20">
        <f>H7*E9/E11</f>
        <v>1.4091043743393514</v>
      </c>
      <c r="F21" s="21" t="s">
        <v>54</v>
      </c>
      <c r="G21" s="22"/>
    </row>
    <row r="22" spans="1:7" x14ac:dyDescent="0.25">
      <c r="A22" s="5" t="s">
        <v>47</v>
      </c>
      <c r="B22" s="7">
        <v>1500</v>
      </c>
    </row>
    <row r="23" spans="1:7" ht="15.75" thickBot="1" x14ac:dyDescent="0.3">
      <c r="A23" s="17" t="s">
        <v>48</v>
      </c>
      <c r="B23" s="9">
        <v>48</v>
      </c>
    </row>
  </sheetData>
  <mergeCells count="1">
    <mergeCell ref="F21:G21"/>
  </mergeCells>
  <conditionalFormatting sqref="E6">
    <cfRule type="cellIs" dxfId="2" priority="4" operator="greaterThan">
      <formula>$B$6</formula>
    </cfRule>
  </conditionalFormatting>
  <conditionalFormatting sqref="E16">
    <cfRule type="cellIs" dxfId="1" priority="3" operator="greaterThan">
      <formula>$E$12</formula>
    </cfRule>
  </conditionalFormatting>
  <conditionalFormatting sqref="E21">
    <cfRule type="cellIs" dxfId="0" priority="1" operator="greaterThan">
      <formula>1.435</formula>
    </cfRule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elif topaloglu</dc:creator>
  <cp:lastModifiedBy>elif topaloglu</cp:lastModifiedBy>
  <dcterms:created xsi:type="dcterms:W3CDTF">2026-05-27T15:55:36Z</dcterms:created>
  <dcterms:modified xsi:type="dcterms:W3CDTF">2026-05-27T20:39:23Z</dcterms:modified>
</cp:coreProperties>
</file>